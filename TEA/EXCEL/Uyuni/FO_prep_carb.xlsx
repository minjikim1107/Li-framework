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nji\Desktop\li framework\TEA\EXCEL\Uyuni\"/>
    </mc:Choice>
  </mc:AlternateContent>
  <xr:revisionPtr revIDLastSave="0" documentId="13_ncr:1_{B09EAAE1-AEDC-42E5-93C3-1179A290702C}" xr6:coauthVersionLast="47" xr6:coauthVersionMax="47" xr10:uidLastSave="{00000000-0000-0000-0000-000000000000}"/>
  <bookViews>
    <workbookView xWindow="28680" yWindow="-2175" windowWidth="29040" windowHeight="15720" activeTab="2" xr2:uid="{00000000-000D-0000-FFFF-FFFF00000000}"/>
  </bookViews>
  <sheets>
    <sheet name="FO" sheetId="1" r:id="rId1"/>
    <sheet name="PREP" sheetId="2" r:id="rId2"/>
    <sheet name="CAR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G15" i="2"/>
</calcChain>
</file>

<file path=xl/sharedStrings.xml><?xml version="1.0" encoding="utf-8"?>
<sst xmlns="http://schemas.openxmlformats.org/spreadsheetml/2006/main" count="53" uniqueCount="53">
  <si>
    <t>Lake</t>
  </si>
  <si>
    <t>stage_num</t>
  </si>
  <si>
    <t>draw_to_feed_ratio</t>
  </si>
  <si>
    <t>total_membrane_length_m</t>
  </si>
  <si>
    <t>total_membrane_area_m2</t>
  </si>
  <si>
    <t>avg_water_flux_L_m2_h</t>
  </si>
  <si>
    <t>min_water_flux_L_m2_h</t>
  </si>
  <si>
    <t>max_water_flux_L_m2_h</t>
  </si>
  <si>
    <t>Q_feed_in_L_hr</t>
  </si>
  <si>
    <t>Q_feed_out_L_hr</t>
  </si>
  <si>
    <t>Q_draw_out_L_hr</t>
  </si>
  <si>
    <t>rho_in_kg_m3</t>
  </si>
  <si>
    <t>rho_out_kg_m3</t>
  </si>
  <si>
    <t>Li_in_g_L</t>
  </si>
  <si>
    <t>Li_out_g_L</t>
  </si>
  <si>
    <t>Li_in_kg_hr</t>
  </si>
  <si>
    <t>Li_out_kg_hr</t>
  </si>
  <si>
    <t>final_flow_feed_ton_per_hr</t>
  </si>
  <si>
    <t>final_water_wt_percent</t>
  </si>
  <si>
    <t>NaCl_kg_hr</t>
  </si>
  <si>
    <t>NaCl_kg_year</t>
  </si>
  <si>
    <t>FO_dp_feed_bar_total</t>
  </si>
  <si>
    <t>FO_dp_draw_bar_total</t>
  </si>
  <si>
    <t>FO_power_feed_kW</t>
  </si>
  <si>
    <t>FO_power_draw_kW</t>
  </si>
  <si>
    <t>FO_net_power_kW</t>
  </si>
  <si>
    <t>FO_energy_kWh_year</t>
  </si>
  <si>
    <t>FO_electricity_cost_per_year</t>
  </si>
  <si>
    <t>mode</t>
  </si>
  <si>
    <t>Uyuni</t>
  </si>
  <si>
    <t>scaled_real_flow</t>
  </si>
  <si>
    <t>PREP_MGCSTR</t>
  </si>
  <si>
    <t>PREP_CACSTR</t>
  </si>
  <si>
    <t>PREP_MGFILT_V</t>
  </si>
  <si>
    <t>PREP_MGFILT_M</t>
  </si>
  <si>
    <t>PREP_CAFILT_V</t>
  </si>
  <si>
    <t>PREP_CAFILT_M</t>
  </si>
  <si>
    <t>PREP_elec_MGCSTR</t>
  </si>
  <si>
    <t>PREP_elec_CACSTR</t>
  </si>
  <si>
    <t>PREP_elec_MGFILT</t>
  </si>
  <si>
    <t>PREP_elec_CAFILT</t>
  </si>
  <si>
    <t>NA2CO3_1</t>
  </si>
  <si>
    <t>NAOH</t>
  </si>
  <si>
    <t>MGOH2</t>
  </si>
  <si>
    <t>CACO3</t>
  </si>
  <si>
    <t>CARB_LICSTR</t>
  </si>
  <si>
    <t>CARB_LIFILT_V</t>
  </si>
  <si>
    <t>CARB_LIFILT_M</t>
  </si>
  <si>
    <t>CARB_elec_LICSTR</t>
  </si>
  <si>
    <t>CARB_elec_LIFILT</t>
  </si>
  <si>
    <t>NA2CO3_2</t>
  </si>
  <si>
    <t>LI2CO3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</si>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</sst>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opLeftCell="C1" workbookViewId="0">
      <selection activeCell="J2" sqref="J2"/>
    </sheetView>
  </sheetViews>
  <sheetFormatPr defaultRowHeight="16.5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>
        <v>90</v>
      </c>
      <c r="C2">
        <v>3.98</v>
      </c>
      <c r="D2">
        <v>90.000029999999995</v>
      </c>
      <c r="E2">
        <v>11284.923761640001</v>
      </c>
      <c r="F2">
        <v>1.183536840378216</v>
      </c>
      <c r="G2">
        <v>0</v>
      </c>
      <c r="H2">
        <v>2.902457705346337</v>
      </c>
      <c r="I2">
        <v>1354325.8325832579</v>
      </c>
      <c r="J2">
        <v>1334279.6715931101</v>
      </c>
      <c r="K2">
        <v>5313153.2929702848</v>
      </c>
      <c r="L2">
        <v>1111</v>
      </c>
      <c r="M2">
        <v>1165.2526591137721</v>
      </c>
      <c r="N2">
        <v>0.32119009999999998</v>
      </c>
      <c r="O2">
        <v>0.32132158819979378</v>
      </c>
      <c r="P2">
        <v>434.99604959999988</v>
      </c>
      <c r="Q2">
        <v>428.73286317899868</v>
      </c>
      <c r="R2">
        <v>1554.7729353253269</v>
      </c>
      <c r="S2">
        <v>79.740425781569613</v>
      </c>
      <c r="T2">
        <v>92.022399620060511</v>
      </c>
      <c r="U2">
        <v>782190.39677051431</v>
      </c>
      <c r="V2">
        <v>0.3505529769817326</v>
      </c>
      <c r="W2">
        <v>2.507414154262805</v>
      </c>
      <c r="X2">
        <v>16.403106617129161</v>
      </c>
      <c r="Y2">
        <v>465.90737494370308</v>
      </c>
      <c r="Z2">
        <v>482.31048156083199</v>
      </c>
      <c r="AA2">
        <v>4099639.0932670748</v>
      </c>
      <c r="AC2" t="s">
        <v>30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selection activeCell="N2" sqref="N2"/>
    </sheetView>
  </sheetViews>
  <sheetFormatPr defaultRowHeight="16.5" x14ac:dyDescent="0.3"/>
  <cols>
    <col min="7" max="7" width="12.75" bestFit="1" customWidth="1"/>
  </cols>
  <sheetData>
    <row r="1" spans="1:14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">
      <c r="A2">
        <v>1347.8340800000001</v>
      </c>
      <c r="B2">
        <v>161329.67600000001</v>
      </c>
      <c r="C2">
        <v>113.06295</v>
      </c>
      <c r="D2">
        <v>1760.3489999999999</v>
      </c>
      <c r="E2">
        <v>112.06497899999999</v>
      </c>
      <c r="F2">
        <v>82.601842583333337</v>
      </c>
      <c r="G2">
        <v>71553985.148231998</v>
      </c>
      <c r="H2">
        <v>277829989.40732402</v>
      </c>
      <c r="I2">
        <v>3538.3465528739998</v>
      </c>
      <c r="J2">
        <v>276900793.016958</v>
      </c>
      <c r="K2">
        <v>13513564.35</v>
      </c>
      <c r="L2">
        <v>229483419.05000001</v>
      </c>
      <c r="M2">
        <v>179555598</v>
      </c>
      <c r="N2">
        <v>8425387.943500001</v>
      </c>
    </row>
    <row r="15" spans="1:14" x14ac:dyDescent="0.3">
      <c r="G15">
        <f>SUM(G2:J2)</f>
        <v>626288305.91906691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workbookViewId="0">
      <selection activeCell="H2" sqref="H2"/>
    </sheetView>
  </sheetViews>
  <sheetFormatPr defaultRowHeight="16.5" x14ac:dyDescent="0.3"/>
  <cols>
    <col min="4" max="4" width="12.75" bestFit="1" customWidth="1"/>
  </cols>
  <sheetData>
    <row r="1" spans="1:8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>
        <v>33313.876799999998</v>
      </c>
      <c r="B2">
        <v>115.7517355</v>
      </c>
      <c r="C2">
        <v>193.5474633333333</v>
      </c>
      <c r="D2">
        <v>568520610.43265998</v>
      </c>
      <c r="E2">
        <v>1231.8429669690599</v>
      </c>
      <c r="F2">
        <v>30030143</v>
      </c>
      <c r="G2">
        <v>19662676.170000002</v>
      </c>
      <c r="H2">
        <v>13280454570</v>
      </c>
    </row>
    <row r="4" spans="1:8" x14ac:dyDescent="0.3">
      <c r="D4">
        <f>SUM(D2:E2)</f>
        <v>568521842.2756269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FO</vt:lpstr>
      <vt:lpstr>PREP</vt:lpstr>
      <vt:lpstr>CARB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김민지</cp:lastModifiedBy>
  <dcterms:created xsi:type="dcterms:W3CDTF">2025-12-03T10:11:45Z</dcterms:created>
  <dcterms:modified xsi:type="dcterms:W3CDTF">2026-04-08T07:58:21Z</dcterms:modified>
</cp:coreProperties>
</file>